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436f5edc30ad33/Dokumente/"/>
    </mc:Choice>
  </mc:AlternateContent>
  <xr:revisionPtr revIDLastSave="126" documentId="8_{FD04DF10-4308-46A8-A407-66C846CF9575}" xr6:coauthVersionLast="47" xr6:coauthVersionMax="47" xr10:uidLastSave="{264D5729-D113-4C14-8877-6AC6101EDEB9}"/>
  <bookViews>
    <workbookView xWindow="-110" yWindow="-110" windowWidth="19420" windowHeight="11500" xr2:uid="{2836778D-72DF-414C-87BD-43BB8CA04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7" i="1"/>
  <c r="W6" i="1"/>
  <c r="W4" i="1"/>
  <c r="AE4" i="1"/>
  <c r="AE5" i="1"/>
  <c r="AE6" i="1"/>
  <c r="AE7" i="1"/>
  <c r="G4" i="1"/>
  <c r="G5" i="1"/>
  <c r="G6" i="1"/>
  <c r="G7" i="1"/>
  <c r="G8" i="1"/>
  <c r="G9" i="1"/>
  <c r="G10" i="1"/>
  <c r="G11" i="1"/>
  <c r="G12" i="1"/>
  <c r="G13" i="1"/>
  <c r="O4" i="1"/>
  <c r="O5" i="1"/>
  <c r="O6" i="1"/>
  <c r="O7" i="1"/>
  <c r="O8" i="1"/>
  <c r="O9" i="1"/>
</calcChain>
</file>

<file path=xl/sharedStrings.xml><?xml version="1.0" encoding="utf-8"?>
<sst xmlns="http://schemas.openxmlformats.org/spreadsheetml/2006/main" count="53" uniqueCount="21">
  <si>
    <t>compiles</t>
  </si>
  <si>
    <t>indent</t>
  </si>
  <si>
    <t>no_deprec</t>
  </si>
  <si>
    <t>function</t>
  </si>
  <si>
    <t>score</t>
  </si>
  <si>
    <t>gemma2b</t>
  </si>
  <si>
    <t>base</t>
  </si>
  <si>
    <t>finetuned</t>
  </si>
  <si>
    <t>phi2</t>
  </si>
  <si>
    <t>tinyllama1.1b</t>
  </si>
  <si>
    <t>qwen0.5b</t>
  </si>
  <si>
    <t>qwen1.8b</t>
  </si>
  <si>
    <t>with RAG</t>
  </si>
  <si>
    <t>RAG-Improvement</t>
  </si>
  <si>
    <t>quantized</t>
  </si>
  <si>
    <t>General model comparison</t>
  </si>
  <si>
    <t>no RAG</t>
  </si>
  <si>
    <t>epochs</t>
  </si>
  <si>
    <t>rate</t>
  </si>
  <si>
    <t>Quantization Loss (after gguf conversion and q4_km quantization)</t>
  </si>
  <si>
    <t>Hyperparameters tinyllama1.1b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</si>
</sst>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CD9E-BBF4-44A4-AFFE-0AF0680BA326}">
  <dimension ref="A1:AE13"/>
  <sheetViews>
    <sheetView tabSelected="1" workbookViewId="0">
      <selection activeCell="R11" sqref="R11"/>
    </sheetView>
  </sheetViews>
  <sheetFormatPr defaultRowHeight="14.5" x14ac:dyDescent="0.35"/>
  <cols>
    <col min="1" max="1" width="21.36328125" customWidth="1"/>
  </cols>
  <sheetData>
    <row r="1" spans="1:31" x14ac:dyDescent="0.35">
      <c r="A1" t="s">
        <v>15</v>
      </c>
      <c r="I1" t="s">
        <v>20</v>
      </c>
      <c r="Q1" t="s">
        <v>19</v>
      </c>
      <c r="Y1" t="s">
        <v>13</v>
      </c>
    </row>
    <row r="3" spans="1:31" x14ac:dyDescent="0.35">
      <c r="C3" t="s">
        <v>0</v>
      </c>
      <c r="D3" t="s">
        <v>1</v>
      </c>
      <c r="E3" t="s">
        <v>2</v>
      </c>
      <c r="F3" t="s">
        <v>3</v>
      </c>
      <c r="G3" t="s">
        <v>4</v>
      </c>
      <c r="K3" t="s">
        <v>0</v>
      </c>
      <c r="L3" t="s">
        <v>1</v>
      </c>
      <c r="M3" t="s">
        <v>2</v>
      </c>
      <c r="N3" t="s">
        <v>3</v>
      </c>
      <c r="O3" t="s">
        <v>4</v>
      </c>
      <c r="S3" t="s">
        <v>0</v>
      </c>
      <c r="T3" t="s">
        <v>1</v>
      </c>
      <c r="U3" t="s">
        <v>2</v>
      </c>
      <c r="V3" t="s">
        <v>3</v>
      </c>
      <c r="W3" t="s">
        <v>4</v>
      </c>
      <c r="AA3" t="s">
        <v>0</v>
      </c>
      <c r="AB3" t="s">
        <v>1</v>
      </c>
      <c r="AC3" t="s">
        <v>2</v>
      </c>
      <c r="AD3" t="s">
        <v>3</v>
      </c>
      <c r="AE3" t="s">
        <v>4</v>
      </c>
    </row>
    <row r="4" spans="1:31" x14ac:dyDescent="0.35">
      <c r="A4" t="s">
        <v>10</v>
      </c>
      <c r="B4" t="s">
        <v>6</v>
      </c>
      <c r="C4">
        <v>39</v>
      </c>
      <c r="D4">
        <v>39</v>
      </c>
      <c r="E4">
        <v>20</v>
      </c>
      <c r="F4">
        <v>9</v>
      </c>
      <c r="G4">
        <f>C4+D4+E4+3*F4</f>
        <v>125</v>
      </c>
      <c r="I4" t="s">
        <v>17</v>
      </c>
      <c r="J4">
        <v>1</v>
      </c>
      <c r="K4">
        <v>50</v>
      </c>
      <c r="L4">
        <v>50</v>
      </c>
      <c r="M4">
        <v>31</v>
      </c>
      <c r="N4">
        <v>23</v>
      </c>
      <c r="O4">
        <f t="shared" ref="O4:O9" si="0">K4+L4+M4+3*N4</f>
        <v>200</v>
      </c>
      <c r="Q4" t="s">
        <v>5</v>
      </c>
      <c r="R4" t="s">
        <v>7</v>
      </c>
      <c r="S4">
        <v>50</v>
      </c>
      <c r="T4">
        <v>50</v>
      </c>
      <c r="U4">
        <v>43</v>
      </c>
      <c r="V4">
        <v>38</v>
      </c>
      <c r="W4">
        <f>S4+T4+U4+3*V4</f>
        <v>257</v>
      </c>
      <c r="Y4" t="s">
        <v>5</v>
      </c>
      <c r="Z4" t="s">
        <v>16</v>
      </c>
      <c r="AA4">
        <v>44</v>
      </c>
      <c r="AB4">
        <v>44</v>
      </c>
      <c r="AC4">
        <v>37</v>
      </c>
      <c r="AD4">
        <v>34</v>
      </c>
      <c r="AE4">
        <f>AA4+AB4+AC4+3*AD4</f>
        <v>227</v>
      </c>
    </row>
    <row r="5" spans="1:31" x14ac:dyDescent="0.35">
      <c r="B5" t="s">
        <v>7</v>
      </c>
      <c r="C5">
        <v>50</v>
      </c>
      <c r="D5">
        <v>5</v>
      </c>
      <c r="E5">
        <v>31</v>
      </c>
      <c r="F5">
        <v>21</v>
      </c>
      <c r="G5">
        <f t="shared" ref="G5:G13" si="1">C5+D5+E5+3*F5</f>
        <v>149</v>
      </c>
      <c r="J5">
        <v>5</v>
      </c>
      <c r="K5">
        <v>50</v>
      </c>
      <c r="L5">
        <v>50</v>
      </c>
      <c r="M5">
        <v>42</v>
      </c>
      <c r="N5">
        <v>32</v>
      </c>
      <c r="O5">
        <f t="shared" si="0"/>
        <v>238</v>
      </c>
      <c r="R5" t="s">
        <v>14</v>
      </c>
      <c r="S5">
        <v>44</v>
      </c>
      <c r="T5">
        <v>44</v>
      </c>
      <c r="U5">
        <v>37</v>
      </c>
      <c r="V5">
        <v>34</v>
      </c>
      <c r="W5">
        <f>S5+T5+U5+3*V5</f>
        <v>227</v>
      </c>
      <c r="Z5" t="s">
        <v>12</v>
      </c>
      <c r="AA5">
        <v>50</v>
      </c>
      <c r="AB5">
        <v>50</v>
      </c>
      <c r="AC5">
        <v>45</v>
      </c>
      <c r="AD5">
        <v>40</v>
      </c>
      <c r="AE5">
        <f>AA5+AB5+AC5+3*AD5</f>
        <v>265</v>
      </c>
    </row>
    <row r="6" spans="1:31" x14ac:dyDescent="0.35">
      <c r="A6" t="s">
        <v>9</v>
      </c>
      <c r="B6" t="s">
        <v>6</v>
      </c>
      <c r="C6">
        <v>49</v>
      </c>
      <c r="D6">
        <v>46</v>
      </c>
      <c r="E6">
        <v>22</v>
      </c>
      <c r="F6">
        <v>8</v>
      </c>
      <c r="G6">
        <f t="shared" si="1"/>
        <v>141</v>
      </c>
      <c r="J6">
        <v>10</v>
      </c>
      <c r="K6">
        <v>50</v>
      </c>
      <c r="L6">
        <v>50</v>
      </c>
      <c r="M6">
        <v>41</v>
      </c>
      <c r="N6">
        <v>10</v>
      </c>
      <c r="O6">
        <f t="shared" si="0"/>
        <v>171</v>
      </c>
      <c r="Q6" t="s">
        <v>9</v>
      </c>
      <c r="R6" t="s">
        <v>7</v>
      </c>
      <c r="S6">
        <v>50</v>
      </c>
      <c r="T6">
        <v>50</v>
      </c>
      <c r="U6">
        <v>42</v>
      </c>
      <c r="V6">
        <v>32</v>
      </c>
      <c r="W6">
        <f>S6+T6+U6+3*V6</f>
        <v>238</v>
      </c>
      <c r="Y6" t="s">
        <v>9</v>
      </c>
      <c r="Z6" t="s">
        <v>16</v>
      </c>
      <c r="AA6">
        <v>50</v>
      </c>
      <c r="AB6">
        <v>50</v>
      </c>
      <c r="AC6">
        <v>34</v>
      </c>
      <c r="AD6">
        <v>22</v>
      </c>
      <c r="AE6">
        <f>AA6+AB6+AC6+3*AD6</f>
        <v>200</v>
      </c>
    </row>
    <row r="7" spans="1:31" x14ac:dyDescent="0.35">
      <c r="B7" t="s">
        <v>7</v>
      </c>
      <c r="C7">
        <v>50</v>
      </c>
      <c r="D7">
        <v>50</v>
      </c>
      <c r="E7">
        <v>42</v>
      </c>
      <c r="F7">
        <v>32</v>
      </c>
      <c r="G7">
        <f t="shared" si="1"/>
        <v>238</v>
      </c>
      <c r="I7" t="s">
        <v>18</v>
      </c>
      <c r="J7" s="1">
        <v>1.0000000000000001E-5</v>
      </c>
      <c r="K7">
        <v>50</v>
      </c>
      <c r="L7">
        <v>50</v>
      </c>
      <c r="M7">
        <v>33</v>
      </c>
      <c r="N7">
        <v>15</v>
      </c>
      <c r="O7">
        <f>K7+L7+M7+3*N7</f>
        <v>178</v>
      </c>
      <c r="R7" t="s">
        <v>14</v>
      </c>
      <c r="S7">
        <v>50</v>
      </c>
      <c r="T7">
        <v>50</v>
      </c>
      <c r="U7">
        <v>34</v>
      </c>
      <c r="V7">
        <v>22</v>
      </c>
      <c r="W7">
        <f>S7+T7+U7+3*V7</f>
        <v>200</v>
      </c>
      <c r="Z7" t="s">
        <v>12</v>
      </c>
      <c r="AA7">
        <v>50</v>
      </c>
      <c r="AB7">
        <v>50</v>
      </c>
      <c r="AC7">
        <v>38</v>
      </c>
      <c r="AD7">
        <v>30</v>
      </c>
      <c r="AE7">
        <f>AA7+AB7+AC7+3*AD7</f>
        <v>228</v>
      </c>
    </row>
    <row r="8" spans="1:31" x14ac:dyDescent="0.35">
      <c r="A8" t="s">
        <v>11</v>
      </c>
      <c r="B8" t="s">
        <v>6</v>
      </c>
      <c r="C8">
        <v>48</v>
      </c>
      <c r="D8">
        <v>22</v>
      </c>
      <c r="E8">
        <v>21</v>
      </c>
      <c r="F8">
        <v>6</v>
      </c>
      <c r="G8">
        <f t="shared" si="1"/>
        <v>109</v>
      </c>
      <c r="J8" s="1">
        <v>5.0000000000000002E-5</v>
      </c>
      <c r="K8">
        <v>50</v>
      </c>
      <c r="L8">
        <v>50</v>
      </c>
      <c r="M8">
        <v>42</v>
      </c>
      <c r="N8">
        <v>32</v>
      </c>
      <c r="O8">
        <f>K8+L8+M8+3*N8</f>
        <v>238</v>
      </c>
    </row>
    <row r="9" spans="1:31" x14ac:dyDescent="0.35">
      <c r="B9" t="s">
        <v>7</v>
      </c>
      <c r="C9">
        <v>50</v>
      </c>
      <c r="D9">
        <v>50</v>
      </c>
      <c r="E9">
        <v>32</v>
      </c>
      <c r="F9">
        <v>10</v>
      </c>
      <c r="G9">
        <f t="shared" si="1"/>
        <v>162</v>
      </c>
      <c r="J9" s="1">
        <v>1E-4</v>
      </c>
      <c r="K9">
        <v>48</v>
      </c>
      <c r="L9">
        <v>47</v>
      </c>
      <c r="M9">
        <v>41</v>
      </c>
      <c r="N9">
        <v>30</v>
      </c>
      <c r="O9">
        <f>K9+L9+M9+3*N9</f>
        <v>226</v>
      </c>
    </row>
    <row r="10" spans="1:31" x14ac:dyDescent="0.35">
      <c r="A10" t="s">
        <v>8</v>
      </c>
      <c r="B10" t="s">
        <v>6</v>
      </c>
      <c r="C10">
        <v>46</v>
      </c>
      <c r="D10">
        <v>46</v>
      </c>
      <c r="E10">
        <v>34</v>
      </c>
      <c r="F10">
        <v>23</v>
      </c>
      <c r="G10">
        <f t="shared" si="1"/>
        <v>195</v>
      </c>
    </row>
    <row r="11" spans="1:31" x14ac:dyDescent="0.35">
      <c r="B11" t="s">
        <v>7</v>
      </c>
      <c r="C11">
        <v>49</v>
      </c>
      <c r="D11">
        <v>46</v>
      </c>
      <c r="E11">
        <v>36</v>
      </c>
      <c r="F11">
        <v>31</v>
      </c>
      <c r="G11">
        <f t="shared" si="1"/>
        <v>224</v>
      </c>
    </row>
    <row r="12" spans="1:31" x14ac:dyDescent="0.35">
      <c r="A12" t="s">
        <v>5</v>
      </c>
      <c r="B12" t="s">
        <v>6</v>
      </c>
      <c r="C12">
        <v>50</v>
      </c>
      <c r="D12">
        <v>49</v>
      </c>
      <c r="E12">
        <v>39</v>
      </c>
      <c r="F12">
        <v>24</v>
      </c>
      <c r="G12">
        <f t="shared" si="1"/>
        <v>210</v>
      </c>
    </row>
    <row r="13" spans="1:31" x14ac:dyDescent="0.35">
      <c r="B13" t="s">
        <v>7</v>
      </c>
      <c r="C13">
        <v>50</v>
      </c>
      <c r="D13">
        <v>50</v>
      </c>
      <c r="E13">
        <v>43</v>
      </c>
      <c r="F13">
        <v>38</v>
      </c>
      <c r="G13">
        <f t="shared" si="1"/>
        <v>257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Pins</dc:creator>
  <cp:lastModifiedBy>Julian Pins</cp:lastModifiedBy>
  <dcterms:created xsi:type="dcterms:W3CDTF">2025-07-20T23:23:55Z</dcterms:created>
  <dcterms:modified xsi:type="dcterms:W3CDTF">2025-07-25T17:39:58Z</dcterms:modified>
</cp:coreProperties>
</file>